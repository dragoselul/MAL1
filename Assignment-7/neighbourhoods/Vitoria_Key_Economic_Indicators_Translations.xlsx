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6">
      <text>
        <t xml:space="preserve">Here it's probably more like "income"
	-Laura Rebelo</t>
      </text>
    </comment>
    <comment authorId="0" ref="C40">
      <text>
        <t xml:space="preserve">"Well" would be more accurate here, like the types of wells you can get water out of
	-Laura Rebelo</t>
      </text>
    </comment>
    <comment authorId="0" ref="C36">
      <text>
        <t xml:space="preserve">also Thrown instead of Played
	-Laura Rebelo</t>
      </text>
    </comment>
    <comment authorId="0" ref="C35">
      <text>
        <t xml:space="preserve">Jogado can mean played, but in this context, it means Thrown* instead
	-Laura Rebelo</t>
      </text>
    </comment>
    <comment authorId="0" ref="C27">
      <text>
        <t xml:space="preserve">I might be off but "cedido" to me sounds more like "given away".. i don't know a more formal word in english for it though
	-Laura Rebelo
I propose "granted or transferred" for land without official sale (ex. Govt land, or allowed to use the land without ownership)
	-Chris F
Granted sounds right 😊
	-Laura Rebelo</t>
      </text>
    </comment>
  </commentList>
</comments>
</file>

<file path=xl/sharedStrings.xml><?xml version="1.0" encoding="utf-8"?>
<sst xmlns="http://schemas.openxmlformats.org/spreadsheetml/2006/main" count="59" uniqueCount="59">
  <si>
    <t xml:space="preserve">Table </t>
  </si>
  <si>
    <t>Original</t>
  </si>
  <si>
    <t>Google Translate</t>
  </si>
  <si>
    <t>Laura correction</t>
  </si>
  <si>
    <t>Razão de dependência, índice de envelhecimento, razão por sexo, razão criança por mulher e taxa de mortalidade por bairros do município de Vitória, 2010</t>
  </si>
  <si>
    <t>Bairros</t>
  </si>
  <si>
    <t>Razão de dependência</t>
  </si>
  <si>
    <t>Jovens</t>
  </si>
  <si>
    <t>Idosos</t>
  </si>
  <si>
    <t>Índice de Envelhecimento</t>
  </si>
  <si>
    <t>Razão por Sexo</t>
  </si>
  <si>
    <t>Sex Ratio</t>
  </si>
  <si>
    <t>Razão Criança - Mulheres</t>
  </si>
  <si>
    <t>Taxa de mortalidade</t>
  </si>
  <si>
    <t>Fonte</t>
  </si>
  <si>
    <t>População total e distribuição populacional por gênero e faixa etária nos bairros do município de Vitória, 2010</t>
  </si>
  <si>
    <t>População Total</t>
  </si>
  <si>
    <t>População por gênero</t>
  </si>
  <si>
    <t>Homens</t>
  </si>
  <si>
    <t>Mulheres</t>
  </si>
  <si>
    <t>População por faixa etária</t>
  </si>
  <si>
    <t>0 a 4 anos</t>
  </si>
  <si>
    <t>5 a 14 anos</t>
  </si>
  <si>
    <t>15 a 64 anos</t>
  </si>
  <si>
    <t>65 anos ou mais</t>
  </si>
  <si>
    <t>Total de domicílios e condição de ocupação segundo bairros do município de Vitória, 2010</t>
  </si>
  <si>
    <t>Total de domicílios particulares permanentes ocupados</t>
  </si>
  <si>
    <t>Condição de ocupação</t>
  </si>
  <si>
    <t>Próprio (%)</t>
  </si>
  <si>
    <t>Alugado (%)</t>
  </si>
  <si>
    <t>Cedido (%)</t>
  </si>
  <si>
    <t>Granted</t>
  </si>
  <si>
    <t>Outras formas de ocupação (%)</t>
  </si>
  <si>
    <t>Percentual de domicílios segundo a existência de energia elétrica, destino do lixo e abastecimento de água nos bairros do município de Vitória, 2010</t>
  </si>
  <si>
    <t>Existência de energia elétrica</t>
  </si>
  <si>
    <t>Destino do lixo</t>
  </si>
  <si>
    <t>Coletado</t>
  </si>
  <si>
    <t>Queimado</t>
  </si>
  <si>
    <t>Enterrado</t>
  </si>
  <si>
    <t>Jogado em terrreno baldio ou logradouro</t>
  </si>
  <si>
    <t>Thrown on vacant land or public place</t>
  </si>
  <si>
    <t>Jogado em rio, lago ou mar</t>
  </si>
  <si>
    <t>Thrown in river lake or sea</t>
  </si>
  <si>
    <t>Outro destino</t>
  </si>
  <si>
    <t>Forma de abastecimento de água</t>
  </si>
  <si>
    <t>Rede Geral</t>
  </si>
  <si>
    <t>Poço</t>
  </si>
  <si>
    <t>Well</t>
  </si>
  <si>
    <t>Outra forma</t>
  </si>
  <si>
    <t>Pessoas de 10 anos ou mais de idade</t>
  </si>
  <si>
    <t>Alfabetização</t>
  </si>
  <si>
    <t>Pessoas alfabetizadas (10 anos ou mais)</t>
  </si>
  <si>
    <t>Taxa de alfabetização (%)</t>
  </si>
  <si>
    <t>Rendimento</t>
  </si>
  <si>
    <t>Income</t>
  </si>
  <si>
    <t>Valor nominal médio das pessoas com 10 anos ou mais de idade, com rendimento</t>
  </si>
  <si>
    <t>Até 1 salário mínimo (%)</t>
  </si>
  <si>
    <t>Mais de 1 salário mínimo (%)</t>
  </si>
  <si>
    <t>Sem rendimentos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</si>
</sst>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12.2</v>
      </c>
      <c r="B2" s="1" t="s">
        <v>4</v>
      </c>
      <c r="C2" s="2" t="str">
        <f>IFERROR(__xludf.DUMMYFUNCTION("GOOGLETRANSLATE(B2, ""pt"", ""en"")"),"Dependency ratio, aging index, sex ratio, child to woman ratio and mortality rate by neighborhoods in the city of Vitória, 2010")</f>
        <v>Dependency ratio, aging index, sex ratio, child to woman ratio and mortality rate by neighborhoods in the city of Vitória, 2010</v>
      </c>
    </row>
    <row r="3">
      <c r="A3" s="1">
        <v>12.2</v>
      </c>
      <c r="B3" s="1" t="s">
        <v>5</v>
      </c>
      <c r="C3" s="2" t="str">
        <f>IFERROR(__xludf.DUMMYFUNCTION("GOOGLETRANSLATE(B3, ""pt"", ""en"")"),"Neighborhoods")</f>
        <v>Neighborhoods</v>
      </c>
    </row>
    <row r="4">
      <c r="A4" s="1">
        <v>12.2</v>
      </c>
      <c r="B4" s="1" t="s">
        <v>6</v>
      </c>
      <c r="C4" s="2" t="str">
        <f>IFERROR(__xludf.DUMMYFUNCTION("GOOGLETRANSLATE(B4, ""pt"", ""en"")"),"Dependency ratio")</f>
        <v>Dependency ratio</v>
      </c>
    </row>
    <row r="5">
      <c r="A5" s="1">
        <v>12.2</v>
      </c>
      <c r="B5" s="1" t="s">
        <v>7</v>
      </c>
      <c r="C5" s="2" t="str">
        <f>IFERROR(__xludf.DUMMYFUNCTION("GOOGLETRANSLATE(B5, ""pt"", ""en"")"),"Young people")</f>
        <v>Young people</v>
      </c>
    </row>
    <row r="6">
      <c r="A6" s="1">
        <v>12.2</v>
      </c>
      <c r="B6" s="1" t="s">
        <v>8</v>
      </c>
      <c r="C6" s="2" t="str">
        <f>IFERROR(__xludf.DUMMYFUNCTION("GOOGLETRANSLATE(B6, ""pt"", ""en"")"),"Elderly")</f>
        <v>Elderly</v>
      </c>
    </row>
    <row r="7">
      <c r="A7" s="1">
        <v>12.2</v>
      </c>
      <c r="B7" s="1" t="s">
        <v>9</v>
      </c>
      <c r="C7" s="2" t="str">
        <f>IFERROR(__xludf.DUMMYFUNCTION("GOOGLETRANSLATE(B7, ""pt"", ""en"")"),"Aging Index")</f>
        <v>Aging Index</v>
      </c>
    </row>
    <row r="8">
      <c r="A8" s="1">
        <v>12.2</v>
      </c>
      <c r="B8" s="1" t="s">
        <v>10</v>
      </c>
      <c r="C8" s="2" t="str">
        <f>IFERROR(__xludf.DUMMYFUNCTION("GOOGLETRANSLATE(B8, ""pt"", ""en"")"),"Reason for Sex")</f>
        <v>Reason for Sex</v>
      </c>
      <c r="D8" s="1" t="s">
        <v>11</v>
      </c>
    </row>
    <row r="9">
      <c r="A9" s="1">
        <v>12.2</v>
      </c>
      <c r="B9" s="1" t="s">
        <v>12</v>
      </c>
      <c r="C9" s="2" t="str">
        <f>IFERROR(__xludf.DUMMYFUNCTION("GOOGLETRANSLATE(B9, ""pt"", ""en"")"),"Reason Child - Women")</f>
        <v>Reason Child - Women</v>
      </c>
    </row>
    <row r="10">
      <c r="A10" s="1">
        <v>12.2</v>
      </c>
      <c r="B10" s="1" t="s">
        <v>13</v>
      </c>
      <c r="C10" s="2" t="str">
        <f>IFERROR(__xludf.DUMMYFUNCTION("GOOGLETRANSLATE(B10, ""pt"", ""en"")"),"Mortality rate")</f>
        <v>Mortality rate</v>
      </c>
    </row>
    <row r="11">
      <c r="A11" s="1">
        <v>12.2</v>
      </c>
      <c r="B11" s="1" t="s">
        <v>14</v>
      </c>
      <c r="C11" s="2" t="str">
        <f>IFERROR(__xludf.DUMMYFUNCTION("GOOGLETRANSLATE(B11, ""pt"", ""en"")"),"Source")</f>
        <v>Source</v>
      </c>
    </row>
    <row r="12">
      <c r="A12" s="1">
        <v>12.1</v>
      </c>
      <c r="B12" s="1" t="s">
        <v>15</v>
      </c>
      <c r="C12" s="2" t="str">
        <f>IFERROR(__xludf.DUMMYFUNCTION("GOOGLETRANSLATE(B12, ""pt"", ""en"")"),"Total population and population distribution by gender and age group in the neighborhoods of the municipality of Vitória, 2010")</f>
        <v>Total population and population distribution by gender and age group in the neighborhoods of the municipality of Vitória, 2010</v>
      </c>
    </row>
    <row r="13">
      <c r="A13" s="1">
        <v>12.1</v>
      </c>
      <c r="B13" s="1" t="s">
        <v>16</v>
      </c>
      <c r="C13" s="2" t="str">
        <f>IFERROR(__xludf.DUMMYFUNCTION("GOOGLETRANSLATE(B13, ""pt"", ""en"")"),"Total Population")</f>
        <v>Total Population</v>
      </c>
    </row>
    <row r="14">
      <c r="A14" s="1">
        <v>12.1</v>
      </c>
      <c r="B14" s="1" t="s">
        <v>17</v>
      </c>
      <c r="C14" s="2" t="str">
        <f>IFERROR(__xludf.DUMMYFUNCTION("GOOGLETRANSLATE(B14, ""pt"", ""en"")"),"Population by gender")</f>
        <v>Population by gender</v>
      </c>
    </row>
    <row r="15">
      <c r="A15" s="1">
        <v>12.1</v>
      </c>
      <c r="B15" s="1" t="s">
        <v>18</v>
      </c>
      <c r="C15" s="2" t="str">
        <f>IFERROR(__xludf.DUMMYFUNCTION("GOOGLETRANSLATE(B15, ""pt"", ""en"")"),"Men")</f>
        <v>Men</v>
      </c>
    </row>
    <row r="16">
      <c r="A16" s="1">
        <v>12.1</v>
      </c>
      <c r="B16" s="1" t="s">
        <v>19</v>
      </c>
      <c r="C16" s="2" t="str">
        <f>IFERROR(__xludf.DUMMYFUNCTION("GOOGLETRANSLATE(B16, ""pt"", ""en"")"),"Women")</f>
        <v>Women</v>
      </c>
    </row>
    <row r="17">
      <c r="A17" s="1">
        <v>12.1</v>
      </c>
      <c r="B17" s="1" t="s">
        <v>20</v>
      </c>
      <c r="C17" s="2" t="str">
        <f>IFERROR(__xludf.DUMMYFUNCTION("GOOGLETRANSLATE(B17, ""pt"", ""en"")"),"Population by age group")</f>
        <v>Population by age group</v>
      </c>
    </row>
    <row r="18">
      <c r="A18" s="1">
        <v>12.1</v>
      </c>
      <c r="B18" s="1" t="s">
        <v>21</v>
      </c>
      <c r="C18" s="2" t="str">
        <f>IFERROR(__xludf.DUMMYFUNCTION("GOOGLETRANSLATE(B18, ""pt"", ""en"")"),"0 to 4 years")</f>
        <v>0 to 4 years</v>
      </c>
    </row>
    <row r="19">
      <c r="A19" s="1">
        <v>12.1</v>
      </c>
      <c r="B19" s="1" t="s">
        <v>22</v>
      </c>
      <c r="C19" s="2" t="str">
        <f>IFERROR(__xludf.DUMMYFUNCTION("GOOGLETRANSLATE(B19, ""pt"", ""en"")"),"5 to 14 years old")</f>
        <v>5 to 14 years old</v>
      </c>
    </row>
    <row r="20">
      <c r="A20" s="1">
        <v>12.1</v>
      </c>
      <c r="B20" s="1" t="s">
        <v>23</v>
      </c>
      <c r="C20" s="2" t="str">
        <f>IFERROR(__xludf.DUMMYFUNCTION("GOOGLETRANSLATE(B20, ""pt"", ""en"")"),"15 to 64 years old")</f>
        <v>15 to 64 years old</v>
      </c>
    </row>
    <row r="21">
      <c r="A21" s="1">
        <v>12.1</v>
      </c>
      <c r="B21" s="1" t="s">
        <v>24</v>
      </c>
      <c r="C21" s="2" t="str">
        <f>IFERROR(__xludf.DUMMYFUNCTION("GOOGLETRANSLATE(B21, ""pt"", ""en"")"),"65 years or older")</f>
        <v>65 years or older</v>
      </c>
    </row>
    <row r="22">
      <c r="A22" s="1">
        <v>12.3</v>
      </c>
      <c r="B22" s="1" t="s">
        <v>25</v>
      </c>
      <c r="C22" s="2" t="str">
        <f>IFERROR(__xludf.DUMMYFUNCTION("GOOGLETRANSLATE(B22, ""pt"", ""en"")"),"Total number of households and occupancy status according to neighborhoods in the city of Vitória, 2010")</f>
        <v>Total number of households and occupancy status according to neighborhoods in the city of Vitória, 2010</v>
      </c>
    </row>
    <row r="23">
      <c r="A23" s="1">
        <v>12.3</v>
      </c>
      <c r="B23" s="1" t="s">
        <v>26</v>
      </c>
      <c r="C23" s="2" t="str">
        <f>IFERROR(__xludf.DUMMYFUNCTION("GOOGLETRANSLATE(B23, ""pt"", ""en"")"),"Total occupied permanent private households")</f>
        <v>Total occupied permanent private households</v>
      </c>
    </row>
    <row r="24">
      <c r="A24" s="1">
        <v>12.3</v>
      </c>
      <c r="B24" s="1" t="s">
        <v>27</v>
      </c>
      <c r="C24" s="2" t="str">
        <f>IFERROR(__xludf.DUMMYFUNCTION("GOOGLETRANSLATE(B24, ""pt"", ""en"")"),"Occupancy condition")</f>
        <v>Occupancy condition</v>
      </c>
    </row>
    <row r="25">
      <c r="A25" s="1">
        <v>12.3</v>
      </c>
      <c r="B25" s="1" t="s">
        <v>28</v>
      </c>
      <c r="C25" s="2" t="str">
        <f>IFERROR(__xludf.DUMMYFUNCTION("GOOGLETRANSLATE(B25, ""pt"", ""en"")"),"Own (%)")</f>
        <v>Own (%)</v>
      </c>
    </row>
    <row r="26">
      <c r="A26" s="1">
        <v>12.3</v>
      </c>
      <c r="B26" s="1" t="s">
        <v>29</v>
      </c>
      <c r="C26" s="2" t="str">
        <f>IFERROR(__xludf.DUMMYFUNCTION("GOOGLETRANSLATE(B26, ""pt"", ""en"")"),"Rented (%)")</f>
        <v>Rented (%)</v>
      </c>
    </row>
    <row r="27">
      <c r="A27" s="1">
        <v>12.3</v>
      </c>
      <c r="B27" s="1" t="s">
        <v>30</v>
      </c>
      <c r="C27" s="2" t="str">
        <f>IFERROR(__xludf.DUMMYFUNCTION("GOOGLETRANSLATE(B27, ""pt"", ""en"")"),"Assigned (%)")</f>
        <v>Assigned (%)</v>
      </c>
      <c r="D27" s="1" t="s">
        <v>31</v>
      </c>
    </row>
    <row r="28">
      <c r="A28" s="1">
        <v>12.3</v>
      </c>
      <c r="B28" s="1" t="s">
        <v>32</v>
      </c>
      <c r="C28" s="2" t="str">
        <f>IFERROR(__xludf.DUMMYFUNCTION("GOOGLETRANSLATE(B28, ""pt"", ""en"")"),"Other forms of occupation (%)")</f>
        <v>Other forms of occupation (%)</v>
      </c>
    </row>
    <row r="29">
      <c r="A29" s="1">
        <v>12.4</v>
      </c>
      <c r="B29" s="1" t="s">
        <v>33</v>
      </c>
      <c r="C29" s="2" t="str">
        <f>IFERROR(__xludf.DUMMYFUNCTION("GOOGLETRANSLATE(B29, ""pt"", ""en"")"),"Percentage of households according to the existence of electricity, waste disposal and water supply in neighborhoods in the municipality of Vitória, 2010")</f>
        <v>Percentage of households according to the existence of electricity, waste disposal and water supply in neighborhoods in the municipality of Vitória, 2010</v>
      </c>
    </row>
    <row r="30">
      <c r="A30" s="1">
        <v>12.4</v>
      </c>
      <c r="B30" s="1" t="s">
        <v>34</v>
      </c>
      <c r="C30" s="2" t="str">
        <f>IFERROR(__xludf.DUMMYFUNCTION("GOOGLETRANSLATE(B30, ""pt"", ""en"")"),"Existence of electrical energy")</f>
        <v>Existence of electrical energy</v>
      </c>
    </row>
    <row r="31">
      <c r="A31" s="1">
        <v>12.4</v>
      </c>
      <c r="B31" s="1" t="s">
        <v>35</v>
      </c>
      <c r="C31" s="2" t="str">
        <f>IFERROR(__xludf.DUMMYFUNCTION("GOOGLETRANSLATE(B31, ""pt"", ""en"")"),"Garbage destination")</f>
        <v>Garbage destination</v>
      </c>
    </row>
    <row r="32">
      <c r="A32" s="1">
        <v>12.4</v>
      </c>
      <c r="B32" s="1" t="s">
        <v>36</v>
      </c>
      <c r="C32" s="2" t="str">
        <f>IFERROR(__xludf.DUMMYFUNCTION("GOOGLETRANSLATE(B32, ""pt"", ""en"")"),"Collected")</f>
        <v>Collected</v>
      </c>
    </row>
    <row r="33">
      <c r="A33" s="1">
        <v>12.4</v>
      </c>
      <c r="B33" s="1" t="s">
        <v>37</v>
      </c>
      <c r="C33" s="2" t="str">
        <f>IFERROR(__xludf.DUMMYFUNCTION("GOOGLETRANSLATE(B33, ""pt"", ""en"")"),"Burnt")</f>
        <v>Burnt</v>
      </c>
    </row>
    <row r="34">
      <c r="A34" s="1">
        <v>12.4</v>
      </c>
      <c r="B34" s="1" t="s">
        <v>38</v>
      </c>
      <c r="C34" s="2" t="str">
        <f>IFERROR(__xludf.DUMMYFUNCTION("GOOGLETRANSLATE(B34, ""pt"", ""en"")"),"Buried")</f>
        <v>Buried</v>
      </c>
    </row>
    <row r="35">
      <c r="A35" s="1">
        <v>12.4</v>
      </c>
      <c r="B35" s="1" t="s">
        <v>39</v>
      </c>
      <c r="C35" s="2" t="str">
        <f>IFERROR(__xludf.DUMMYFUNCTION("GOOGLETRANSLATE(B35, ""pt"", ""en"")"),"Played on vacant land or in a public place")</f>
        <v>Played on vacant land or in a public place</v>
      </c>
      <c r="D35" s="1" t="s">
        <v>40</v>
      </c>
    </row>
    <row r="36">
      <c r="A36" s="1">
        <v>12.4</v>
      </c>
      <c r="B36" s="1" t="s">
        <v>41</v>
      </c>
      <c r="C36" s="2" t="str">
        <f>IFERROR(__xludf.DUMMYFUNCTION("GOOGLETRANSLATE(B36, ""pt"", ""en"")"),"Played in river, lake or sea")</f>
        <v>Played in river, lake or sea</v>
      </c>
      <c r="D36" s="1" t="s">
        <v>42</v>
      </c>
    </row>
    <row r="37">
      <c r="A37" s="1">
        <v>12.4</v>
      </c>
      <c r="B37" s="1" t="s">
        <v>43</v>
      </c>
      <c r="C37" s="2" t="str">
        <f>IFERROR(__xludf.DUMMYFUNCTION("GOOGLETRANSLATE(B37, ""pt"", ""en"")"),"Another destination")</f>
        <v>Another destination</v>
      </c>
    </row>
    <row r="38">
      <c r="A38" s="1">
        <v>12.4</v>
      </c>
      <c r="B38" s="1" t="s">
        <v>44</v>
      </c>
      <c r="C38" s="2" t="str">
        <f>IFERROR(__xludf.DUMMYFUNCTION("GOOGLETRANSLATE(B38, ""pt"", ""en"")"),"Way of water supply")</f>
        <v>Way of water supply</v>
      </c>
    </row>
    <row r="39">
      <c r="A39" s="1">
        <v>12.4</v>
      </c>
      <c r="B39" s="1" t="s">
        <v>45</v>
      </c>
      <c r="C39" s="2" t="str">
        <f>IFERROR(__xludf.DUMMYFUNCTION("GOOGLETRANSLATE(B39, ""pt"", ""en"")"),"General Network")</f>
        <v>General Network</v>
      </c>
    </row>
    <row r="40">
      <c r="A40" s="1">
        <v>12.4</v>
      </c>
      <c r="B40" s="1" t="s">
        <v>46</v>
      </c>
      <c r="C40" s="2" t="str">
        <f>IFERROR(__xludf.DUMMYFUNCTION("GOOGLETRANSLATE(B40, ""pt"", ""en"")"),"Pit")</f>
        <v>Pit</v>
      </c>
      <c r="D40" s="1" t="s">
        <v>47</v>
      </c>
    </row>
    <row r="41">
      <c r="A41" s="1">
        <v>12.4</v>
      </c>
      <c r="B41" s="1" t="s">
        <v>48</v>
      </c>
      <c r="C41" s="2" t="str">
        <f>IFERROR(__xludf.DUMMYFUNCTION("GOOGLETRANSLATE(B41, ""pt"", ""en"")"),"Another way")</f>
        <v>Another way</v>
      </c>
    </row>
    <row r="42">
      <c r="A42" s="1">
        <v>12.5</v>
      </c>
      <c r="B42" s="1" t="s">
        <v>49</v>
      </c>
      <c r="C42" s="2" t="str">
        <f>IFERROR(__xludf.DUMMYFUNCTION("GOOGLETRANSLATE(B42, ""pt"", ""en"")"),"People aged 10 and over")</f>
        <v>People aged 10 and over</v>
      </c>
    </row>
    <row r="43">
      <c r="A43" s="1">
        <v>12.5</v>
      </c>
      <c r="B43" s="1" t="s">
        <v>50</v>
      </c>
      <c r="C43" s="2" t="str">
        <f>IFERROR(__xludf.DUMMYFUNCTION("GOOGLETRANSLATE(B43, ""pt"", ""en"")"),"Literacy")</f>
        <v>Literacy</v>
      </c>
    </row>
    <row r="44">
      <c r="A44" s="1">
        <v>12.5</v>
      </c>
      <c r="B44" s="1" t="s">
        <v>51</v>
      </c>
      <c r="C44" s="2" t="str">
        <f>IFERROR(__xludf.DUMMYFUNCTION("GOOGLETRANSLATE(B44, ""pt"", ""en"")"),"Literate people (10 years or more)")</f>
        <v>Literate people (10 years or more)</v>
      </c>
    </row>
    <row r="45">
      <c r="A45" s="1">
        <v>12.5</v>
      </c>
      <c r="B45" s="1" t="s">
        <v>52</v>
      </c>
      <c r="C45" s="2" t="str">
        <f>IFERROR(__xludf.DUMMYFUNCTION("GOOGLETRANSLATE(B45, ""pt"", ""en"")"),"Literacy rate (%)")</f>
        <v>Literacy rate (%)</v>
      </c>
    </row>
    <row r="46">
      <c r="A46" s="1">
        <v>12.5</v>
      </c>
      <c r="B46" s="1" t="s">
        <v>53</v>
      </c>
      <c r="C46" s="2" t="str">
        <f>IFERROR(__xludf.DUMMYFUNCTION("GOOGLETRANSLATE(B46, ""pt"", ""en"")"),"Performance")</f>
        <v>Performance</v>
      </c>
      <c r="D46" s="1" t="s">
        <v>54</v>
      </c>
    </row>
    <row r="47">
      <c r="A47" s="1">
        <v>12.5</v>
      </c>
      <c r="B47" s="1" t="s">
        <v>55</v>
      </c>
      <c r="C47" s="2" t="str">
        <f>IFERROR(__xludf.DUMMYFUNCTION("GOOGLETRANSLATE(B47, ""pt"", ""en"")"),"Average nominal value of people aged 10 or over, with income")</f>
        <v>Average nominal value of people aged 10 or over, with income</v>
      </c>
    </row>
    <row r="48">
      <c r="A48" s="1">
        <v>12.5</v>
      </c>
      <c r="B48" s="1" t="s">
        <v>56</v>
      </c>
      <c r="C48" s="2" t="str">
        <f>IFERROR(__xludf.DUMMYFUNCTION("GOOGLETRANSLATE(B48, ""pt"", ""en"")"),"Up to 1 minimum wage (%)")</f>
        <v>Up to 1 minimum wage (%)</v>
      </c>
    </row>
    <row r="49">
      <c r="A49" s="1">
        <v>12.5</v>
      </c>
      <c r="B49" s="1" t="s">
        <v>57</v>
      </c>
      <c r="C49" s="2" t="str">
        <f>IFERROR(__xludf.DUMMYFUNCTION("GOOGLETRANSLATE(B49, ""pt"", ""en"")"),"More than 1 minimum wage (%)")</f>
        <v>More than 1 minimum wage (%)</v>
      </c>
    </row>
    <row r="50">
      <c r="A50" s="1">
        <v>12.5</v>
      </c>
      <c r="B50" s="1" t="s">
        <v>58</v>
      </c>
      <c r="C50" s="2" t="str">
        <f>IFERROR(__xludf.DUMMYFUNCTION("GOOGLETRANSLATE(B50, ""pt"", ""en"")"),"No income (%)")</f>
        <v>No income (%)</v>
      </c>
    </row>
  </sheetData>
  <drawing r:id="rId2"/>
  <legacyDrawing r:id="rId3"/>
</worksheet>
</file>